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dor" sheetId="1" r:id="rId5"/>
    <sheet state="visible" name="Apoio" sheetId="2" r:id="rId6"/>
  </sheets>
  <definedNames/>
  <calcPr/>
</workbook>
</file>

<file path=xl/sharedStrings.xml><?xml version="1.0" encoding="utf-8"?>
<sst xmlns="http://schemas.openxmlformats.org/spreadsheetml/2006/main" count="29" uniqueCount="21">
  <si>
    <t>Simulador de FIIs</t>
  </si>
  <si>
    <t>Resultados Principais</t>
  </si>
  <si>
    <t>Aporte Mensal (R$)</t>
  </si>
  <si>
    <t>Patrimônio Acumulado</t>
  </si>
  <si>
    <t>Prazo (Anos)</t>
  </si>
  <si>
    <t>Dividendos Mensais</t>
  </si>
  <si>
    <t>Taxa de Rendimento (%)</t>
  </si>
  <si>
    <t>Perfil</t>
  </si>
  <si>
    <t>Moderado</t>
  </si>
  <si>
    <t>Cenários (Anos)</t>
  </si>
  <si>
    <t>Patrimônio Projetado</t>
  </si>
  <si>
    <t>Distribuição da Carteira</t>
  </si>
  <si>
    <t>Valor Aportado</t>
  </si>
  <si>
    <t>Papel</t>
  </si>
  <si>
    <t>Tijolo</t>
  </si>
  <si>
    <t>Fiagro</t>
  </si>
  <si>
    <t>FoF</t>
  </si>
  <si>
    <t>Logística</t>
  </si>
  <si>
    <t>Shopping</t>
  </si>
  <si>
    <t>Conservador</t>
  </si>
  <si>
    <t>Arrojado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</si>
</sst>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 #,##0.00"/>
  </numFmts>
  <fonts count="4">
    <font>
      <sz val="10.0"/>
      <color rgb="FF000000"/>
      <name val="Arial"/>
      <scheme val="minor"/>
    </font>
    <font>
      <b/>
      <sz val="11.0"/>
      <color rgb="FFFFFFFF"/>
      <name val="Montserrat"/>
    </font>
    <font/>
    <font>
      <sz val="10.0"/>
      <color rgb="FF171C17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2D6943"/>
        <bgColor rgb="FF2D6943"/>
      </patternFill>
    </fill>
  </fills>
  <borders count="4">
    <border/>
    <border>
      <left style="thin">
        <color rgb="FF707870"/>
      </left>
      <top style="thin">
        <color rgb="FF707870"/>
      </top>
      <bottom style="thin">
        <color rgb="FF707870"/>
      </bottom>
    </border>
    <border>
      <right style="thin">
        <color rgb="FF707870"/>
      </right>
      <top style="thin">
        <color rgb="FF707870"/>
      </top>
      <bottom style="thin">
        <color rgb="FF707870"/>
      </bottom>
    </border>
    <border>
      <left style="thin">
        <color rgb="FF707870"/>
      </left>
      <right style="thin">
        <color rgb="FF707870"/>
      </right>
      <top style="thin">
        <color rgb="FF707870"/>
      </top>
      <bottom style="thin">
        <color rgb="FF70787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0" fillId="0" fontId="3" numFmtId="0" xfId="0" applyFont="1"/>
    <xf borderId="1" fillId="2" fontId="1" numFmtId="0" xfId="0" applyAlignment="1" applyBorder="1" applyFill="1" applyFont="1">
      <alignment horizontal="center" readingOrder="0"/>
    </xf>
    <xf borderId="3" fillId="0" fontId="3" numFmtId="0" xfId="0" applyAlignment="1" applyBorder="1" applyFont="1">
      <alignment readingOrder="0"/>
    </xf>
    <xf borderId="3" fillId="0" fontId="3" numFmtId="164" xfId="0" applyAlignment="1" applyBorder="1" applyFont="1" applyNumberFormat="1">
      <alignment readingOrder="0"/>
    </xf>
    <xf borderId="3" fillId="0" fontId="3" numFmtId="164" xfId="0" applyBorder="1" applyFont="1" applyNumberFormat="1"/>
    <xf borderId="3" fillId="0" fontId="3" numFmtId="0" xfId="0" applyAlignment="1" applyBorder="1" applyFont="1">
      <alignment readingOrder="0"/>
    </xf>
    <xf borderId="3" fillId="0" fontId="3" numFmtId="10" xfId="0" applyAlignment="1" applyBorder="1" applyFont="1" applyNumberFormat="1">
      <alignment readingOrder="0"/>
    </xf>
    <xf borderId="3" fillId="2" fontId="1" numFmtId="0" xfId="0" applyAlignment="1" applyBorder="1" applyFill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5FAF2"/>
          <bgColor rgb="FFF5FAF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">
    <tableStyle count="2" pivot="0" name="Simulador-style">
      <tableStyleElement dxfId="1" type="firstRowStripe"/>
      <tableStyleElement dxfId="2" type="secondRowStripe"/>
    </tableStyle>
    <tableStyle count="2" pivot="0" name="Simulador-style 2">
      <tableStyleElement dxfId="1" type="firstRowStripe"/>
      <tableStyleElement dxfId="2" type="secondRowStripe"/>
    </tableStyle>
    <tableStyle count="2" pivot="0" name="Simulador-style 3">
      <tableStyleElement dxfId="1" type="firstRowStripe"/>
      <tableStyleElement dxfId="2" type="secondRowStripe"/>
    </tableStyle>
    <tableStyle count="2" pivot="0" name="Simulador-style 4">
      <tableStyleElement dxfId="1" type="firstRowStripe"/>
      <tableStyleElement dxfId="2" type="secondRowStripe"/>
    </tableStyle>
    <tableStyle count="2" pivot="0" name="Apoio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B5" displayName="Table_1" name="Table_1" id="1">
  <tableColumns count="2">
    <tableColumn name="Column1" id="1"/>
    <tableColumn name="Column2" id="2"/>
  </tableColumns>
  <tableStyleInfo name="Simulador-style" showColumnStripes="0" showFirstColumn="1" showLastColumn="1" showRowStripes="1"/>
</table>
</file>

<file path=xl/tables/table2.xml><?xml version="1.0" encoding="utf-8"?>
<table xmlns="http://schemas.openxmlformats.org/spreadsheetml/2006/main" headerRowCount="0" ref="D2:E3" displayName="Table_2" name="Table_2" id="2">
  <tableColumns count="2">
    <tableColumn name="Column1" id="1"/>
    <tableColumn name="Column2" id="2"/>
  </tableColumns>
  <tableStyleInfo name="Simulador-style 2" showColumnStripes="0" showFirstColumn="1" showLastColumn="1" showRowStripes="1"/>
</table>
</file>

<file path=xl/tables/table3.xml><?xml version="1.0" encoding="utf-8"?>
<table xmlns="http://schemas.openxmlformats.org/spreadsheetml/2006/main" headerRowCount="0" ref="D6:E10" displayName="Table_3" name="Table_3" id="3">
  <tableColumns count="2">
    <tableColumn name="Column1" id="1"/>
    <tableColumn name="Column2" id="2"/>
  </tableColumns>
  <tableStyleInfo name="Simulador-style 3" showColumnStripes="0" showFirstColumn="1" showLastColumn="1" showRowStripes="1"/>
</table>
</file>

<file path=xl/tables/table4.xml><?xml version="1.0" encoding="utf-8"?>
<table xmlns="http://schemas.openxmlformats.org/spreadsheetml/2006/main" headerRowCount="0" ref="A8:B13" displayName="Table_4" name="Table_4" id="4">
  <tableColumns count="2">
    <tableColumn name="Column1" id="1"/>
    <tableColumn name="Column2" id="2"/>
  </tableColumns>
  <tableStyleInfo name="Simulador-style 4" showColumnStripes="0" showFirstColumn="1" showLastColumn="1" showRowStripes="1"/>
</table>
</file>

<file path=xl/tables/table5.xml><?xml version="1.0" encoding="utf-8"?>
<table xmlns="http://schemas.openxmlformats.org/spreadsheetml/2006/main" headerRowCount="0" ref="A2:G4" displayName="Table_5" name="Table_5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po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5.13"/>
    <col customWidth="1" min="3" max="3" width="3.88"/>
    <col customWidth="1" min="4" max="4" width="22.63"/>
    <col customWidth="1" min="5" max="5" width="20.13"/>
  </cols>
  <sheetData>
    <row r="1">
      <c r="A1" s="1" t="s">
        <v>0</v>
      </c>
      <c r="B1" s="2"/>
      <c r="C1" s="3"/>
      <c r="D1" s="4" t="s">
        <v>1</v>
      </c>
      <c r="E1" s="2"/>
    </row>
    <row r="2">
      <c r="A2" s="5" t="s">
        <v>2</v>
      </c>
      <c r="B2" s="6">
        <v>500.0</v>
      </c>
      <c r="C2" s="3"/>
      <c r="D2" s="5" t="s">
        <v>3</v>
      </c>
      <c r="E2" s="7">
        <f>FV(B4, B3*12, -B2, 0, 0)</f>
        <v>100108.7347</v>
      </c>
    </row>
    <row r="3">
      <c r="A3" s="5" t="s">
        <v>4</v>
      </c>
      <c r="B3" s="8">
        <v>10.0</v>
      </c>
      <c r="C3" s="3"/>
      <c r="D3" s="5" t="s">
        <v>5</v>
      </c>
      <c r="E3" s="7">
        <f>E2 * B4</f>
        <v>800.8698776</v>
      </c>
    </row>
    <row r="4">
      <c r="A4" s="5" t="s">
        <v>6</v>
      </c>
      <c r="B4" s="9">
        <v>0.008</v>
      </c>
      <c r="C4" s="3"/>
      <c r="D4" s="3"/>
      <c r="E4" s="3"/>
    </row>
    <row r="5">
      <c r="A5" s="5" t="s">
        <v>7</v>
      </c>
      <c r="B5" s="5" t="s">
        <v>8</v>
      </c>
      <c r="C5" s="3"/>
      <c r="D5" s="10" t="s">
        <v>9</v>
      </c>
      <c r="E5" s="10" t="s">
        <v>10</v>
      </c>
    </row>
    <row r="6">
      <c r="A6" s="3"/>
      <c r="B6" s="3"/>
      <c r="C6" s="3"/>
      <c r="D6" s="8">
        <v>2.0</v>
      </c>
      <c r="E6" s="7">
        <f t="shared" ref="E6:E10" si="1">FV($B$4, D6*12, -$B$2, 0, 0)</f>
        <v>13171.57756</v>
      </c>
    </row>
    <row r="7">
      <c r="A7" s="10" t="s">
        <v>11</v>
      </c>
      <c r="B7" s="10" t="s">
        <v>12</v>
      </c>
      <c r="C7" s="3"/>
      <c r="D7" s="8">
        <v>5.0</v>
      </c>
      <c r="E7" s="7">
        <f t="shared" si="1"/>
        <v>38311.93342</v>
      </c>
    </row>
    <row r="8">
      <c r="A8" s="5" t="s">
        <v>13</v>
      </c>
      <c r="B8" s="7">
        <f>$B$2 * VLOOKUP($B$5, Apoio!A:G, 2, FALSE)</f>
        <v>125</v>
      </c>
      <c r="C8" s="3"/>
      <c r="D8" s="8">
        <v>10.0</v>
      </c>
      <c r="E8" s="7">
        <f t="shared" si="1"/>
        <v>100108.7347</v>
      </c>
    </row>
    <row r="9">
      <c r="A9" s="5" t="s">
        <v>14</v>
      </c>
      <c r="B9" s="7">
        <f>$B$2 * VLOOKUP($B$5, Apoio!A:G, 3, FALSE)</f>
        <v>125</v>
      </c>
      <c r="C9" s="3"/>
      <c r="D9" s="8">
        <v>20.0</v>
      </c>
      <c r="E9" s="7">
        <f t="shared" si="1"/>
        <v>360565.6096</v>
      </c>
    </row>
    <row r="10">
      <c r="A10" s="5" t="s">
        <v>15</v>
      </c>
      <c r="B10" s="7">
        <f>$B$2 * VLOOKUP($B$5, Apoio!A:G, 4, FALSE)</f>
        <v>75</v>
      </c>
      <c r="C10" s="3"/>
      <c r="D10" s="8">
        <v>30.0</v>
      </c>
      <c r="E10" s="7">
        <f t="shared" si="1"/>
        <v>1038206.616</v>
      </c>
    </row>
    <row r="11">
      <c r="A11" s="5" t="s">
        <v>16</v>
      </c>
      <c r="B11" s="7">
        <f>$B$2 * VLOOKUP($B$5, Apoio!A:G, 5, FALSE)</f>
        <v>75</v>
      </c>
      <c r="C11" s="3"/>
      <c r="D11" s="3"/>
      <c r="E11" s="3"/>
    </row>
    <row r="12">
      <c r="A12" s="5" t="s">
        <v>17</v>
      </c>
      <c r="B12" s="7">
        <f>$B$2 * VLOOKUP($B$5, Apoio!A:G, 6, FALSE)</f>
        <v>50</v>
      </c>
      <c r="C12" s="3"/>
      <c r="D12" s="3"/>
      <c r="E12" s="3"/>
    </row>
    <row r="13">
      <c r="A13" s="5" t="s">
        <v>18</v>
      </c>
      <c r="B13" s="7">
        <f>$B$2 * VLOOKUP($B$5, Apoio!A:G, 7, FALSE)</f>
        <v>50</v>
      </c>
      <c r="C13" s="3"/>
      <c r="D13" s="3"/>
      <c r="E13" s="3"/>
    </row>
  </sheetData>
  <mergeCells count="2">
    <mergeCell ref="A1:B1"/>
    <mergeCell ref="D1:E1"/>
  </mergeCells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7</v>
      </c>
      <c r="B1" s="10" t="s">
        <v>13</v>
      </c>
      <c r="C1" s="10" t="s">
        <v>14</v>
      </c>
      <c r="D1" s="10" t="s">
        <v>15</v>
      </c>
      <c r="E1" s="10" t="s">
        <v>16</v>
      </c>
      <c r="F1" s="10" t="s">
        <v>17</v>
      </c>
      <c r="G1" s="10" t="s">
        <v>18</v>
      </c>
    </row>
    <row r="2">
      <c r="A2" s="5" t="s">
        <v>19</v>
      </c>
      <c r="B2" s="9">
        <v>0.4</v>
      </c>
      <c r="C2" s="9">
        <v>0.2</v>
      </c>
      <c r="D2" s="9">
        <v>0.1</v>
      </c>
      <c r="E2" s="9">
        <v>0.1</v>
      </c>
      <c r="F2" s="9">
        <v>0.1</v>
      </c>
      <c r="G2" s="9">
        <v>0.1</v>
      </c>
    </row>
    <row r="3">
      <c r="A3" s="5" t="s">
        <v>8</v>
      </c>
      <c r="B3" s="9">
        <v>0.25</v>
      </c>
      <c r="C3" s="9">
        <v>0.25</v>
      </c>
      <c r="D3" s="9">
        <v>0.15</v>
      </c>
      <c r="E3" s="9">
        <v>0.15</v>
      </c>
      <c r="F3" s="9">
        <v>0.1</v>
      </c>
      <c r="G3" s="9">
        <v>0.1</v>
      </c>
    </row>
    <row r="4">
      <c r="A4" s="5" t="s">
        <v>20</v>
      </c>
      <c r="B4" s="9">
        <v>0.1</v>
      </c>
      <c r="C4" s="9">
        <v>0.3</v>
      </c>
      <c r="D4" s="9">
        <v>0.2</v>
      </c>
      <c r="E4" s="9">
        <v>0.15</v>
      </c>
      <c r="F4" s="9">
        <v>0.15</v>
      </c>
      <c r="G4" s="9">
        <v>0.1</v>
      </c>
    </row>
  </sheetData>
  <drawing r:id="rId1"/>
  <tableParts count="1">
    <tablePart r:id="rId3"/>
  </tableParts>
</worksheet>
</file>